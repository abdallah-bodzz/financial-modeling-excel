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son.prassides/Desktop/34857 - Financial Modeling in Excel/Exercises and Datasets/"/>
    </mc:Choice>
  </mc:AlternateContent>
  <xr:revisionPtr revIDLastSave="0" documentId="13_ncr:1_{7C8DC207-A2C7-BC4B-B94B-6E45BBDDE91F}" xr6:coauthVersionLast="47" xr6:coauthVersionMax="47" xr10:uidLastSave="{00000000-0000-0000-0000-000000000000}"/>
  <bookViews>
    <workbookView xWindow="0" yWindow="500" windowWidth="25440" windowHeight="15400" xr2:uid="{4FDF45FB-1CFF-4C45-826A-662E4B25C150}"/>
  </bookViews>
  <sheets>
    <sheet name="Analysis" sheetId="1" r:id="rId1"/>
  </sheets>
  <definedNames>
    <definedName name="CostGrowth" comment="The rate at which estimated costs will grow each year.">Analysis!$B$9</definedName>
    <definedName name="Units" comment="The number of units the property has.">Analysis!$B$3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E42" i="1"/>
  <c r="F42" i="1" s="1"/>
  <c r="E40" i="1"/>
  <c r="N39" i="1"/>
  <c r="M39" i="1"/>
  <c r="L39" i="1"/>
  <c r="K39" i="1"/>
  <c r="J39" i="1"/>
  <c r="I39" i="1"/>
  <c r="H39" i="1"/>
  <c r="G39" i="1"/>
  <c r="F39" i="1"/>
  <c r="E39" i="1"/>
  <c r="F37" i="1"/>
  <c r="F36" i="1" s="1"/>
  <c r="E36" i="1"/>
  <c r="D21" i="1"/>
  <c r="F40" i="1" l="1"/>
  <c r="G42" i="1"/>
  <c r="G37" i="1"/>
  <c r="L23" i="1"/>
  <c r="M23" i="1"/>
  <c r="N23" i="1"/>
  <c r="K23" i="1"/>
  <c r="J23" i="1"/>
  <c r="I23" i="1"/>
  <c r="H23" i="1"/>
  <c r="G23" i="1"/>
  <c r="F23" i="1"/>
  <c r="E23" i="1"/>
  <c r="E16" i="1"/>
  <c r="G36" i="1" l="1"/>
  <c r="H37" i="1"/>
  <c r="G40" i="1"/>
  <c r="H42" i="1"/>
  <c r="F16" i="1"/>
  <c r="I42" i="1" l="1"/>
  <c r="H40" i="1"/>
  <c r="I37" i="1"/>
  <c r="H36" i="1"/>
  <c r="G16" i="1"/>
  <c r="E21" i="1"/>
  <c r="J37" i="1" l="1"/>
  <c r="I36" i="1"/>
  <c r="I40" i="1"/>
  <c r="J42" i="1"/>
  <c r="E33" i="1"/>
  <c r="E30" i="1"/>
  <c r="H16" i="1"/>
  <c r="E25" i="1"/>
  <c r="J40" i="1" l="1"/>
  <c r="K42" i="1"/>
  <c r="J36" i="1"/>
  <c r="K37" i="1"/>
  <c r="I16" i="1"/>
  <c r="F21" i="1"/>
  <c r="K36" i="1" l="1"/>
  <c r="L37" i="1"/>
  <c r="L42" i="1"/>
  <c r="K40" i="1"/>
  <c r="F33" i="1"/>
  <c r="J16" i="1"/>
  <c r="F30" i="1"/>
  <c r="G21" i="1"/>
  <c r="F25" i="1"/>
  <c r="L40" i="1" l="1"/>
  <c r="M42" i="1"/>
  <c r="L36" i="1"/>
  <c r="M37" i="1"/>
  <c r="G25" i="1"/>
  <c r="K16" i="1"/>
  <c r="G30" i="1"/>
  <c r="G33" i="1"/>
  <c r="H21" i="1"/>
  <c r="N37" i="1" l="1"/>
  <c r="N36" i="1" s="1"/>
  <c r="M36" i="1"/>
  <c r="M40" i="1"/>
  <c r="N42" i="1"/>
  <c r="N40" i="1" s="1"/>
  <c r="H25" i="1"/>
  <c r="H30" i="1"/>
  <c r="L16" i="1"/>
  <c r="I21" i="1"/>
  <c r="H33" i="1"/>
  <c r="I25" i="1" l="1"/>
  <c r="M16" i="1"/>
  <c r="I30" i="1"/>
  <c r="I33" i="1"/>
  <c r="J21" i="1"/>
  <c r="J25" i="1" l="1"/>
  <c r="J33" i="1"/>
  <c r="N16" i="1"/>
  <c r="J30" i="1"/>
  <c r="K21" i="1"/>
  <c r="K25" i="1" l="1"/>
  <c r="K33" i="1"/>
  <c r="K30" i="1"/>
  <c r="L21" i="1"/>
  <c r="L25" i="1" l="1"/>
  <c r="L30" i="1"/>
  <c r="M21" i="1"/>
  <c r="N21" i="1"/>
  <c r="L33" i="1"/>
  <c r="M25" i="1" l="1"/>
  <c r="N25" i="1"/>
  <c r="M33" i="1"/>
  <c r="N30" i="1"/>
  <c r="M30" i="1"/>
  <c r="N33" i="1"/>
</calcChain>
</file>

<file path=xl/sharedStrings.xml><?xml version="1.0" encoding="utf-8"?>
<sst xmlns="http://schemas.openxmlformats.org/spreadsheetml/2006/main" count="45" uniqueCount="45">
  <si>
    <t>Units</t>
  </si>
  <si>
    <t>Year Built</t>
  </si>
  <si>
    <t>Effective Monthly Rent / Unit</t>
  </si>
  <si>
    <t>Total Rental Income</t>
  </si>
  <si>
    <t>Delinquency %</t>
  </si>
  <si>
    <t>Repairs &amp; Maintenance</t>
  </si>
  <si>
    <t>Utilities (Vacancy)</t>
  </si>
  <si>
    <t>Taxes</t>
  </si>
  <si>
    <t>Total Operating Expenses</t>
  </si>
  <si>
    <t>Net Operating Income</t>
  </si>
  <si>
    <t>Renovations</t>
  </si>
  <si>
    <t>Total Capital Expenditures</t>
  </si>
  <si>
    <t>Community Name</t>
  </si>
  <si>
    <t>West Ridge North</t>
  </si>
  <si>
    <t>Tax rate</t>
  </si>
  <si>
    <t>Assessed value</t>
  </si>
  <si>
    <t>Avg. Occupancy</t>
  </si>
  <si>
    <t>R&amp;M Ratio</t>
  </si>
  <si>
    <t>Asset Details</t>
  </si>
  <si>
    <t>Turn Ratio</t>
  </si>
  <si>
    <t>Avg. Utilities Cost / Vacant Unit</t>
  </si>
  <si>
    <t>Net Income</t>
  </si>
  <si>
    <t>Last Remodeled</t>
  </si>
  <si>
    <t>N/A</t>
  </si>
  <si>
    <t>Avg. Occupied Units</t>
  </si>
  <si>
    <t>Acquisition Details</t>
  </si>
  <si>
    <t>Purchase Price</t>
  </si>
  <si>
    <t>Cap Rate</t>
  </si>
  <si>
    <t>Sale Details</t>
  </si>
  <si>
    <t>Sale Price</t>
  </si>
  <si>
    <t>Net Potential Rent</t>
  </si>
  <si>
    <t>Vacancy</t>
  </si>
  <si>
    <t>Cash Flow Analysis</t>
  </si>
  <si>
    <t>Delinquency</t>
  </si>
  <si>
    <t>Salaries and Wages</t>
  </si>
  <si>
    <t>Last Year Financials</t>
  </si>
  <si>
    <t>Operational Assumptions</t>
  </si>
  <si>
    <t>Rent Growth %</t>
  </si>
  <si>
    <t>Cost Growth %</t>
  </si>
  <si>
    <t>Exit Cap Rate</t>
  </si>
  <si>
    <t>Holding Period (Years)</t>
  </si>
  <si>
    <t>Seller</t>
  </si>
  <si>
    <t>Shady Tree Mgmt</t>
  </si>
  <si>
    <t>Property (Purchase) Sale</t>
  </si>
  <si>
    <t>Turn &amp; Marketing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</si>
</sst>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Year&quot;\ 0"/>
    <numFmt numFmtId="167" formatCode="_(* #,##0_);_(* \(#,##0\);_(* &quot;-&quot;??_);_(@_)"/>
    <numFmt numFmtId="168" formatCode="_(* #,##0_);_(* \(#,##0\);_(* &quot;-&quot;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i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7F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166" fontId="0" fillId="0" borderId="0" xfId="0" applyNumberFormat="1"/>
    <xf numFmtId="0" fontId="3" fillId="0" borderId="0" xfId="0" applyFont="1"/>
    <xf numFmtId="0" fontId="2" fillId="0" borderId="1" xfId="0" applyFont="1" applyBorder="1"/>
    <xf numFmtId="0" fontId="0" fillId="2" borderId="0" xfId="0" applyFill="1"/>
    <xf numFmtId="168" fontId="6" fillId="0" borderId="0" xfId="0" applyNumberFormat="1" applyFont="1"/>
    <xf numFmtId="167" fontId="6" fillId="0" borderId="0" xfId="1" applyNumberFormat="1" applyFont="1"/>
    <xf numFmtId="10" fontId="7" fillId="0" borderId="0" xfId="0" applyNumberFormat="1" applyFont="1"/>
    <xf numFmtId="10" fontId="6" fillId="0" borderId="0" xfId="2" applyNumberFormat="1" applyFont="1"/>
    <xf numFmtId="165" fontId="0" fillId="0" borderId="0" xfId="0" applyNumberFormat="1"/>
    <xf numFmtId="0" fontId="4" fillId="0" borderId="0" xfId="0" applyFont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167" fontId="4" fillId="0" borderId="0" xfId="1" applyNumberFormat="1" applyFont="1" applyAlignment="1">
      <alignment horizontal="center"/>
    </xf>
    <xf numFmtId="167" fontId="4" fillId="0" borderId="0" xfId="1" applyNumberFormat="1" applyFont="1"/>
    <xf numFmtId="167" fontId="4" fillId="0" borderId="0" xfId="0" applyNumberFormat="1" applyFont="1"/>
    <xf numFmtId="167" fontId="5" fillId="0" borderId="1" xfId="0" applyNumberFormat="1" applyFont="1" applyBorder="1"/>
    <xf numFmtId="168" fontId="4" fillId="0" borderId="0" xfId="0" applyNumberFormat="1" applyFont="1"/>
    <xf numFmtId="10" fontId="8" fillId="0" borderId="0" xfId="2" applyNumberFormat="1" applyFont="1"/>
    <xf numFmtId="168" fontId="8" fillId="0" borderId="0" xfId="0" applyNumberFormat="1" applyFont="1"/>
    <xf numFmtId="168" fontId="5" fillId="0" borderId="1" xfId="0" applyNumberFormat="1" applyFont="1" applyBorder="1"/>
    <xf numFmtId="10" fontId="6" fillId="0" borderId="0" xfId="0" applyNumberFormat="1" applyFont="1"/>
    <xf numFmtId="0" fontId="3" fillId="0" borderId="0" xfId="0" applyFont="1" applyAlignment="1">
      <alignment horizontal="right"/>
    </xf>
    <xf numFmtId="10" fontId="0" fillId="0" borderId="0" xfId="0" applyNumberFormat="1"/>
    <xf numFmtId="1" fontId="0" fillId="0" borderId="0" xfId="0" applyNumberFormat="1"/>
    <xf numFmtId="164" fontId="0" fillId="0" borderId="0" xfId="0" applyNumberFormat="1"/>
    <xf numFmtId="10" fontId="6" fillId="2" borderId="0" xfId="2" applyNumberFormat="1" applyFont="1" applyFill="1"/>
    <xf numFmtId="167" fontId="6" fillId="0" borderId="0" xfId="1" applyNumberFormat="1" applyFont="1" applyAlignment="1">
      <alignment horizontal="center"/>
    </xf>
    <xf numFmtId="0" fontId="0" fillId="0" borderId="1" xfId="1" applyNumberFormat="1" applyFont="1" applyBorder="1" applyAlignment="1">
      <alignment horizontal="center"/>
    </xf>
    <xf numFmtId="10" fontId="4" fillId="0" borderId="0" xfId="0" applyNumberFormat="1" applyFont="1"/>
    <xf numFmtId="9" fontId="6" fillId="0" borderId="0" xfId="0" applyNumberFormat="1" applyFont="1"/>
    <xf numFmtId="0" fontId="5" fillId="3" borderId="0" xfId="0" applyFont="1" applyFill="1" applyAlignment="1">
      <alignment horizontal="centerContinuous"/>
    </xf>
    <xf numFmtId="0" fontId="2" fillId="3" borderId="0" xfId="0" applyFont="1" applyFill="1"/>
    <xf numFmtId="0" fontId="4" fillId="3" borderId="0" xfId="0" applyFont="1" applyFill="1"/>
    <xf numFmtId="0" fontId="0" fillId="3" borderId="0" xfId="0" applyFill="1"/>
    <xf numFmtId="167" fontId="0" fillId="0" borderId="0" xfId="0" applyNumberFormat="1"/>
    <xf numFmtId="0" fontId="6" fillId="0" borderId="0" xfId="0" applyFont="1"/>
    <xf numFmtId="167" fontId="0" fillId="0" borderId="0" xfId="1" applyNumberFormat="1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14</xdr:col>
      <xdr:colOff>64670</xdr:colOff>
      <xdr:row>9</xdr:row>
      <xdr:rowOff>152332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F2EB49-C1EF-4BD8-98A6-B002E36C5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300" y="0"/>
          <a:ext cx="3958490" cy="17982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57A92-7447-413E-AB34-D9282C61BBCD}">
  <dimension ref="A1:O57"/>
  <sheetViews>
    <sheetView showGridLines="0" tabSelected="1" topLeftCell="A29" zoomScaleNormal="100" workbookViewId="0">
      <selection activeCell="B48" sqref="B48"/>
    </sheetView>
  </sheetViews>
  <sheetFormatPr baseColWidth="10" defaultColWidth="8.83203125" defaultRowHeight="15" x14ac:dyDescent="0.2"/>
  <cols>
    <col min="1" max="1" width="29.5" customWidth="1"/>
    <col min="2" max="2" width="16.6640625" style="12" bestFit="1" customWidth="1"/>
    <col min="3" max="3" width="14.6640625" customWidth="1"/>
    <col min="4" max="4" width="13.33203125" bestFit="1" customWidth="1"/>
    <col min="5" max="5" width="10.6640625" bestFit="1" customWidth="1"/>
    <col min="6" max="6" width="14.6640625" bestFit="1" customWidth="1"/>
    <col min="7" max="7" width="10.5" bestFit="1" customWidth="1"/>
    <col min="8" max="8" width="12.1640625" customWidth="1"/>
    <col min="9" max="10" width="10.5" bestFit="1" customWidth="1"/>
    <col min="11" max="11" width="11.5" bestFit="1" customWidth="1"/>
    <col min="12" max="13" width="10.5" bestFit="1" customWidth="1"/>
    <col min="14" max="14" width="10.6640625" bestFit="1" customWidth="1"/>
  </cols>
  <sheetData>
    <row r="1" spans="1:14" x14ac:dyDescent="0.2">
      <c r="A1" s="33" t="s">
        <v>18</v>
      </c>
      <c r="B1" s="33"/>
      <c r="D1" s="33" t="s">
        <v>25</v>
      </c>
      <c r="E1" s="33"/>
      <c r="F1" s="33"/>
    </row>
    <row r="2" spans="1:14" x14ac:dyDescent="0.2">
      <c r="A2" t="s">
        <v>12</v>
      </c>
      <c r="B2" s="10" t="s">
        <v>13</v>
      </c>
      <c r="D2" t="s">
        <v>26</v>
      </c>
      <c r="F2" s="37"/>
    </row>
    <row r="3" spans="1:14" x14ac:dyDescent="0.2">
      <c r="A3" s="4" t="s">
        <v>0</v>
      </c>
      <c r="B3" s="11">
        <v>80</v>
      </c>
      <c r="D3" s="4" t="s">
        <v>27</v>
      </c>
      <c r="E3" s="4"/>
      <c r="F3" s="28"/>
      <c r="K3" s="26"/>
    </row>
    <row r="4" spans="1:14" x14ac:dyDescent="0.2">
      <c r="A4" t="s">
        <v>1</v>
      </c>
      <c r="B4" s="10">
        <v>1994</v>
      </c>
    </row>
    <row r="5" spans="1:14" x14ac:dyDescent="0.2">
      <c r="A5" s="4" t="s">
        <v>22</v>
      </c>
      <c r="B5" s="11" t="s">
        <v>23</v>
      </c>
      <c r="D5" s="33" t="s">
        <v>28</v>
      </c>
      <c r="E5" s="33"/>
      <c r="F5" s="33"/>
      <c r="J5" s="7"/>
    </row>
    <row r="6" spans="1:14" x14ac:dyDescent="0.2">
      <c r="A6" t="s">
        <v>41</v>
      </c>
      <c r="B6" s="10" t="s">
        <v>42</v>
      </c>
      <c r="D6" t="s">
        <v>40</v>
      </c>
      <c r="F6" s="38"/>
      <c r="J6" s="27"/>
    </row>
    <row r="7" spans="1:14" x14ac:dyDescent="0.2">
      <c r="D7" s="4" t="s">
        <v>39</v>
      </c>
      <c r="E7" s="4"/>
      <c r="F7" s="28"/>
      <c r="J7" s="32"/>
    </row>
    <row r="8" spans="1:14" x14ac:dyDescent="0.2">
      <c r="A8" s="33" t="s">
        <v>36</v>
      </c>
      <c r="B8" s="33"/>
      <c r="D8" t="s">
        <v>29</v>
      </c>
      <c r="F8" s="39"/>
    </row>
    <row r="9" spans="1:14" x14ac:dyDescent="0.2">
      <c r="A9" s="25" t="s">
        <v>38</v>
      </c>
      <c r="B9" s="8"/>
    </row>
    <row r="10" spans="1:14" x14ac:dyDescent="0.2">
      <c r="A10" s="4" t="s">
        <v>37</v>
      </c>
      <c r="B10" s="28"/>
    </row>
    <row r="14" spans="1:14" x14ac:dyDescent="0.2">
      <c r="A14" s="34" t="s">
        <v>32</v>
      </c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</row>
    <row r="15" spans="1:14" x14ac:dyDescent="0.2">
      <c r="D15" s="1"/>
      <c r="E15" s="1"/>
      <c r="F15" s="1"/>
    </row>
    <row r="16" spans="1:14" x14ac:dyDescent="0.2">
      <c r="B16" s="13" t="s">
        <v>35</v>
      </c>
      <c r="C16" s="1"/>
      <c r="D16" s="30">
        <v>0</v>
      </c>
      <c r="E16" s="30">
        <f>D16+1</f>
        <v>1</v>
      </c>
      <c r="F16" s="30">
        <f t="shared" ref="F16:N16" si="0">E16+1</f>
        <v>2</v>
      </c>
      <c r="G16" s="30">
        <f t="shared" si="0"/>
        <v>3</v>
      </c>
      <c r="H16" s="30">
        <f t="shared" si="0"/>
        <v>4</v>
      </c>
      <c r="I16" s="30">
        <f t="shared" si="0"/>
        <v>5</v>
      </c>
      <c r="J16" s="30">
        <f t="shared" si="0"/>
        <v>6</v>
      </c>
      <c r="K16" s="30">
        <f t="shared" si="0"/>
        <v>7</v>
      </c>
      <c r="L16" s="30">
        <f t="shared" si="0"/>
        <v>8</v>
      </c>
      <c r="M16" s="30">
        <f>L16+1</f>
        <v>9</v>
      </c>
      <c r="N16" s="30">
        <f t="shared" si="0"/>
        <v>10</v>
      </c>
    </row>
    <row r="17" spans="1:15" x14ac:dyDescent="0.2">
      <c r="B17" s="14"/>
      <c r="G17" s="1"/>
      <c r="H17" s="1"/>
      <c r="I17" s="1"/>
      <c r="J17" s="1"/>
    </row>
    <row r="18" spans="1:15" x14ac:dyDescent="0.2">
      <c r="A18" t="s">
        <v>30</v>
      </c>
      <c r="B18" s="15">
        <v>1493760</v>
      </c>
      <c r="D18" s="15">
        <v>0</v>
      </c>
      <c r="E18" s="15">
        <v>0</v>
      </c>
      <c r="F18" s="15"/>
      <c r="G18" s="15"/>
      <c r="H18" s="15"/>
      <c r="I18" s="15"/>
      <c r="J18" s="15"/>
      <c r="K18" s="15"/>
      <c r="L18" s="15"/>
      <c r="M18" s="15"/>
      <c r="N18" s="15"/>
    </row>
    <row r="19" spans="1:15" x14ac:dyDescent="0.2">
      <c r="A19" s="24" t="s">
        <v>2</v>
      </c>
      <c r="B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5" x14ac:dyDescent="0.2">
      <c r="B20" s="15"/>
      <c r="D20" s="15"/>
      <c r="E20" s="29"/>
      <c r="F20" s="29"/>
      <c r="G20" s="29"/>
      <c r="H20" s="29"/>
      <c r="I20" s="29"/>
      <c r="J20" s="29"/>
      <c r="K20" s="29"/>
      <c r="L20" s="29"/>
      <c r="M20" s="29"/>
      <c r="N20" s="29"/>
    </row>
    <row r="21" spans="1:15" x14ac:dyDescent="0.2">
      <c r="A21" t="s">
        <v>31</v>
      </c>
      <c r="B21" s="16">
        <v>-410784.00000000006</v>
      </c>
      <c r="D21" s="16">
        <f t="shared" ref="D21:N21" si="1">-D18*(1-D23)</f>
        <v>0</v>
      </c>
      <c r="E21" s="16">
        <f t="shared" si="1"/>
        <v>0</v>
      </c>
      <c r="F21" s="16">
        <f t="shared" si="1"/>
        <v>0</v>
      </c>
      <c r="G21" s="16">
        <f t="shared" si="1"/>
        <v>0</v>
      </c>
      <c r="H21" s="16">
        <f t="shared" si="1"/>
        <v>0</v>
      </c>
      <c r="I21" s="16">
        <f t="shared" si="1"/>
        <v>0</v>
      </c>
      <c r="J21" s="16">
        <f t="shared" si="1"/>
        <v>0</v>
      </c>
      <c r="K21" s="16">
        <f t="shared" si="1"/>
        <v>0</v>
      </c>
      <c r="L21" s="16">
        <f t="shared" si="1"/>
        <v>0</v>
      </c>
      <c r="M21" s="16">
        <f t="shared" si="1"/>
        <v>0</v>
      </c>
      <c r="N21" s="16">
        <f t="shared" si="1"/>
        <v>0</v>
      </c>
    </row>
    <row r="22" spans="1:15" x14ac:dyDescent="0.2">
      <c r="A22" s="24" t="s">
        <v>24</v>
      </c>
      <c r="B22" s="6"/>
      <c r="D22" s="6"/>
      <c r="E22" s="6">
        <v>0</v>
      </c>
      <c r="F22" s="6">
        <v>60</v>
      </c>
      <c r="G22" s="6">
        <v>76</v>
      </c>
      <c r="H22" s="6">
        <v>76</v>
      </c>
      <c r="I22" s="6">
        <v>76</v>
      </c>
      <c r="J22" s="6">
        <v>76</v>
      </c>
      <c r="K22" s="6">
        <v>76</v>
      </c>
      <c r="L22" s="6">
        <v>76</v>
      </c>
      <c r="M22" s="6">
        <v>76</v>
      </c>
      <c r="N22" s="6">
        <v>76</v>
      </c>
      <c r="O22" s="6"/>
    </row>
    <row r="23" spans="1:15" x14ac:dyDescent="0.2">
      <c r="A23" s="24" t="s">
        <v>16</v>
      </c>
      <c r="B23" s="23"/>
      <c r="D23" s="31"/>
      <c r="E23" s="31">
        <f t="shared" ref="E23:N23" si="2">E22/Units</f>
        <v>0</v>
      </c>
      <c r="F23" s="31">
        <f t="shared" si="2"/>
        <v>0.75</v>
      </c>
      <c r="G23" s="31">
        <f t="shared" si="2"/>
        <v>0.95</v>
      </c>
      <c r="H23" s="31">
        <f t="shared" si="2"/>
        <v>0.95</v>
      </c>
      <c r="I23" s="31">
        <f t="shared" si="2"/>
        <v>0.95</v>
      </c>
      <c r="J23" s="31">
        <f t="shared" si="2"/>
        <v>0.95</v>
      </c>
      <c r="K23" s="31">
        <f t="shared" si="2"/>
        <v>0.95</v>
      </c>
      <c r="L23" s="31">
        <f t="shared" si="2"/>
        <v>0.95</v>
      </c>
      <c r="M23" s="31">
        <f t="shared" si="2"/>
        <v>0.95</v>
      </c>
      <c r="N23" s="31">
        <f t="shared" si="2"/>
        <v>0.95</v>
      </c>
    </row>
    <row r="24" spans="1:15" x14ac:dyDescent="0.2">
      <c r="A24" s="24"/>
      <c r="B24" s="23"/>
      <c r="D24" s="23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spans="1:15" x14ac:dyDescent="0.2">
      <c r="A25" t="s">
        <v>33</v>
      </c>
      <c r="B25" s="17">
        <v>-179251</v>
      </c>
      <c r="D25" s="17">
        <v>0</v>
      </c>
      <c r="E25" s="17">
        <f t="shared" ref="E25:N25" si="3">SUM(E21,E18)*E26</f>
        <v>0</v>
      </c>
      <c r="F25" s="17">
        <f t="shared" si="3"/>
        <v>0</v>
      </c>
      <c r="G25" s="17">
        <f t="shared" si="3"/>
        <v>0</v>
      </c>
      <c r="H25" s="17">
        <f t="shared" si="3"/>
        <v>0</v>
      </c>
      <c r="I25" s="17">
        <f t="shared" si="3"/>
        <v>0</v>
      </c>
      <c r="J25" s="17">
        <f t="shared" si="3"/>
        <v>0</v>
      </c>
      <c r="K25" s="17">
        <f t="shared" si="3"/>
        <v>0</v>
      </c>
      <c r="L25" s="17">
        <f t="shared" si="3"/>
        <v>0</v>
      </c>
      <c r="M25" s="17">
        <f t="shared" si="3"/>
        <v>0</v>
      </c>
      <c r="N25" s="17">
        <f t="shared" si="3"/>
        <v>0</v>
      </c>
    </row>
    <row r="26" spans="1:15" x14ac:dyDescent="0.2">
      <c r="A26" s="24" t="s">
        <v>4</v>
      </c>
      <c r="B26" s="7"/>
      <c r="D26" s="7"/>
      <c r="E26" s="7">
        <v>0.12</v>
      </c>
      <c r="F26" s="7">
        <v>0.06</v>
      </c>
      <c r="G26" s="7">
        <v>0.04</v>
      </c>
      <c r="H26" s="7">
        <v>0.04</v>
      </c>
      <c r="I26" s="7">
        <v>0.04</v>
      </c>
      <c r="J26" s="7">
        <v>0.04</v>
      </c>
      <c r="K26" s="7">
        <v>0.04</v>
      </c>
      <c r="L26" s="7">
        <v>0.04</v>
      </c>
      <c r="M26" s="7">
        <v>0.04</v>
      </c>
      <c r="N26" s="7">
        <v>0.04</v>
      </c>
    </row>
    <row r="27" spans="1:15" x14ac:dyDescent="0.2">
      <c r="B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</row>
    <row r="28" spans="1:15" x14ac:dyDescent="0.2">
      <c r="A28" s="3" t="s">
        <v>3</v>
      </c>
      <c r="B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</row>
    <row r="29" spans="1:15" x14ac:dyDescent="0.2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5" x14ac:dyDescent="0.2">
      <c r="A30" t="s">
        <v>5</v>
      </c>
      <c r="B30" s="19">
        <v>-58742</v>
      </c>
      <c r="D30" s="19">
        <v>0</v>
      </c>
      <c r="E30" s="19">
        <f>SUM(E$18+E$21)*E31</f>
        <v>0</v>
      </c>
      <c r="F30" s="19">
        <f t="shared" ref="F30:N30" si="4">SUM(F18+F21)*F31</f>
        <v>0</v>
      </c>
      <c r="G30" s="19">
        <f t="shared" si="4"/>
        <v>0</v>
      </c>
      <c r="H30" s="19">
        <f t="shared" si="4"/>
        <v>0</v>
      </c>
      <c r="I30" s="19">
        <f t="shared" si="4"/>
        <v>0</v>
      </c>
      <c r="J30" s="19">
        <f t="shared" si="4"/>
        <v>0</v>
      </c>
      <c r="K30" s="19">
        <f t="shared" si="4"/>
        <v>0</v>
      </c>
      <c r="L30" s="19">
        <f t="shared" si="4"/>
        <v>0</v>
      </c>
      <c r="M30" s="19">
        <f t="shared" si="4"/>
        <v>0</v>
      </c>
      <c r="N30" s="19">
        <f t="shared" si="4"/>
        <v>0</v>
      </c>
    </row>
    <row r="31" spans="1:15" x14ac:dyDescent="0.2">
      <c r="A31" s="24" t="s">
        <v>17</v>
      </c>
      <c r="B31" s="8"/>
      <c r="D31" s="8"/>
      <c r="E31" s="8">
        <v>0.05</v>
      </c>
      <c r="F31" s="8">
        <v>0.05</v>
      </c>
      <c r="G31" s="8">
        <v>0.05</v>
      </c>
      <c r="H31" s="8">
        <v>0.05</v>
      </c>
      <c r="I31" s="8">
        <v>0.05</v>
      </c>
      <c r="J31" s="8">
        <v>0.05</v>
      </c>
      <c r="K31" s="8">
        <v>0.05</v>
      </c>
      <c r="L31" s="8">
        <v>0.05</v>
      </c>
      <c r="M31" s="8">
        <v>0.05</v>
      </c>
      <c r="N31" s="8">
        <v>0.05</v>
      </c>
    </row>
    <row r="32" spans="1:15" x14ac:dyDescent="0.2">
      <c r="A32" s="2"/>
      <c r="B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</row>
    <row r="33" spans="1:14" x14ac:dyDescent="0.2">
      <c r="A33" t="s">
        <v>44</v>
      </c>
      <c r="B33" s="19">
        <v>-27111</v>
      </c>
      <c r="D33" s="19">
        <v>0</v>
      </c>
      <c r="E33" s="19">
        <f t="shared" ref="E33:N33" si="5">SUM(E$18+E$21)*E34</f>
        <v>0</v>
      </c>
      <c r="F33" s="19">
        <f t="shared" si="5"/>
        <v>0</v>
      </c>
      <c r="G33" s="19">
        <f t="shared" si="5"/>
        <v>0</v>
      </c>
      <c r="H33" s="19">
        <f t="shared" si="5"/>
        <v>0</v>
      </c>
      <c r="I33" s="19">
        <f t="shared" si="5"/>
        <v>0</v>
      </c>
      <c r="J33" s="19">
        <f t="shared" si="5"/>
        <v>0</v>
      </c>
      <c r="K33" s="19">
        <f t="shared" si="5"/>
        <v>0</v>
      </c>
      <c r="L33" s="19">
        <f t="shared" si="5"/>
        <v>0</v>
      </c>
      <c r="M33" s="19">
        <f t="shared" si="5"/>
        <v>0</v>
      </c>
      <c r="N33" s="19">
        <f t="shared" si="5"/>
        <v>0</v>
      </c>
    </row>
    <row r="34" spans="1:14" x14ac:dyDescent="0.2">
      <c r="A34" s="24" t="s">
        <v>19</v>
      </c>
      <c r="B34" s="8"/>
      <c r="D34" s="8"/>
      <c r="E34" s="8">
        <v>0.03</v>
      </c>
      <c r="F34" s="8">
        <v>0.03</v>
      </c>
      <c r="G34" s="8">
        <v>0.03</v>
      </c>
      <c r="H34" s="8">
        <v>0.03</v>
      </c>
      <c r="I34" s="8">
        <v>0.03</v>
      </c>
      <c r="J34" s="8">
        <v>0.03</v>
      </c>
      <c r="K34" s="8">
        <v>0.03</v>
      </c>
      <c r="L34" s="8">
        <v>0.03</v>
      </c>
      <c r="M34" s="8">
        <v>0.03</v>
      </c>
      <c r="N34" s="8">
        <v>0.03</v>
      </c>
    </row>
    <row r="35" spans="1:14" x14ac:dyDescent="0.2">
      <c r="B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2">
      <c r="A36" t="s">
        <v>6</v>
      </c>
      <c r="B36" s="19">
        <v>-7304</v>
      </c>
      <c r="D36" s="19">
        <v>0</v>
      </c>
      <c r="E36" s="19">
        <f t="shared" ref="E36:N36" si="6">(Units-E22)*E37</f>
        <v>24000</v>
      </c>
      <c r="F36" s="19">
        <f t="shared" si="6"/>
        <v>6000</v>
      </c>
      <c r="G36" s="19">
        <f t="shared" si="6"/>
        <v>1200</v>
      </c>
      <c r="H36" s="19">
        <f t="shared" si="6"/>
        <v>1200</v>
      </c>
      <c r="I36" s="19">
        <f t="shared" si="6"/>
        <v>1200</v>
      </c>
      <c r="J36" s="19">
        <f t="shared" si="6"/>
        <v>1200</v>
      </c>
      <c r="K36" s="19">
        <f t="shared" si="6"/>
        <v>1200</v>
      </c>
      <c r="L36" s="19">
        <f t="shared" si="6"/>
        <v>1200</v>
      </c>
      <c r="M36" s="19">
        <f t="shared" si="6"/>
        <v>1200</v>
      </c>
      <c r="N36" s="19">
        <f t="shared" si="6"/>
        <v>1200</v>
      </c>
    </row>
    <row r="37" spans="1:14" x14ac:dyDescent="0.2">
      <c r="A37" s="24" t="s">
        <v>20</v>
      </c>
      <c r="B37" s="5"/>
      <c r="D37" s="5"/>
      <c r="E37" s="5">
        <v>300</v>
      </c>
      <c r="F37" s="5">
        <f t="shared" ref="F37:N37" si="7">E37*(1+CostGrowth)</f>
        <v>300</v>
      </c>
      <c r="G37" s="5">
        <f t="shared" si="7"/>
        <v>300</v>
      </c>
      <c r="H37" s="5">
        <f t="shared" si="7"/>
        <v>300</v>
      </c>
      <c r="I37" s="5">
        <f t="shared" si="7"/>
        <v>300</v>
      </c>
      <c r="J37" s="5">
        <f t="shared" si="7"/>
        <v>300</v>
      </c>
      <c r="K37" s="5">
        <f t="shared" si="7"/>
        <v>300</v>
      </c>
      <c r="L37" s="5">
        <f t="shared" si="7"/>
        <v>300</v>
      </c>
      <c r="M37" s="5">
        <f t="shared" si="7"/>
        <v>300</v>
      </c>
      <c r="N37" s="5">
        <f t="shared" si="7"/>
        <v>300</v>
      </c>
    </row>
    <row r="38" spans="1:14" x14ac:dyDescent="0.2">
      <c r="B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2">
      <c r="A39" t="s">
        <v>34</v>
      </c>
      <c r="B39" s="19">
        <v>-212582</v>
      </c>
      <c r="D39" s="19">
        <v>0</v>
      </c>
      <c r="E39" s="19">
        <f t="shared" ref="E39:N39" si="8">$B$39*(1+CostGrowth^E16)</f>
        <v>-212582</v>
      </c>
      <c r="F39" s="19">
        <f t="shared" si="8"/>
        <v>-212582</v>
      </c>
      <c r="G39" s="19">
        <f t="shared" si="8"/>
        <v>-212582</v>
      </c>
      <c r="H39" s="19">
        <f t="shared" si="8"/>
        <v>-212582</v>
      </c>
      <c r="I39" s="19">
        <f t="shared" si="8"/>
        <v>-212582</v>
      </c>
      <c r="J39" s="19">
        <f t="shared" si="8"/>
        <v>-212582</v>
      </c>
      <c r="K39" s="19">
        <f t="shared" si="8"/>
        <v>-212582</v>
      </c>
      <c r="L39" s="19">
        <f t="shared" si="8"/>
        <v>-212582</v>
      </c>
      <c r="M39" s="19">
        <f t="shared" si="8"/>
        <v>-212582</v>
      </c>
      <c r="N39" s="19">
        <f t="shared" si="8"/>
        <v>-212582</v>
      </c>
    </row>
    <row r="40" spans="1:14" x14ac:dyDescent="0.2">
      <c r="A40" t="s">
        <v>7</v>
      </c>
      <c r="B40" s="19">
        <v>-160665</v>
      </c>
      <c r="D40" s="19">
        <v>0</v>
      </c>
      <c r="E40" s="19">
        <f>-E41*E42</f>
        <v>0</v>
      </c>
      <c r="F40" s="19">
        <f t="shared" ref="F40:N40" si="9">-F41*F42</f>
        <v>0</v>
      </c>
      <c r="G40" s="19">
        <f t="shared" si="9"/>
        <v>0</v>
      </c>
      <c r="H40" s="19">
        <f t="shared" si="9"/>
        <v>0</v>
      </c>
      <c r="I40" s="19">
        <f t="shared" si="9"/>
        <v>0</v>
      </c>
      <c r="J40" s="19">
        <f t="shared" si="9"/>
        <v>0</v>
      </c>
      <c r="K40" s="19">
        <f t="shared" si="9"/>
        <v>0</v>
      </c>
      <c r="L40" s="19">
        <f t="shared" si="9"/>
        <v>0</v>
      </c>
      <c r="M40" s="19">
        <f t="shared" si="9"/>
        <v>0</v>
      </c>
      <c r="N40" s="19">
        <f t="shared" si="9"/>
        <v>0</v>
      </c>
    </row>
    <row r="41" spans="1:14" x14ac:dyDescent="0.2">
      <c r="A41" s="24" t="s">
        <v>14</v>
      </c>
      <c r="B41" s="8"/>
      <c r="D41" s="8"/>
      <c r="E41" s="8">
        <v>3.5000000000000003E-2</v>
      </c>
      <c r="F41" s="8">
        <v>3.5000000000000003E-2</v>
      </c>
      <c r="G41" s="8">
        <v>3.5000000000000003E-2</v>
      </c>
      <c r="H41" s="8">
        <v>3.5000000000000003E-2</v>
      </c>
      <c r="I41" s="8">
        <v>3.5000000000000003E-2</v>
      </c>
      <c r="J41" s="8">
        <v>3.5000000000000003E-2</v>
      </c>
      <c r="K41" s="8">
        <v>3.5000000000000003E-2</v>
      </c>
      <c r="L41" s="8">
        <v>3.5000000000000003E-2</v>
      </c>
      <c r="M41" s="8">
        <v>3.5000000000000003E-2</v>
      </c>
      <c r="N41" s="8">
        <v>3.5000000000000003E-2</v>
      </c>
    </row>
    <row r="42" spans="1:14" x14ac:dyDescent="0.2">
      <c r="A42" s="24" t="s">
        <v>15</v>
      </c>
      <c r="B42" s="5"/>
      <c r="D42" s="5"/>
      <c r="E42" s="5">
        <f>-D48</f>
        <v>0</v>
      </c>
      <c r="F42" s="5">
        <f t="shared" ref="F42:N42" si="10">E42*(1+CostGrowth)</f>
        <v>0</v>
      </c>
      <c r="G42" s="5">
        <f t="shared" si="10"/>
        <v>0</v>
      </c>
      <c r="H42" s="5">
        <f t="shared" si="10"/>
        <v>0</v>
      </c>
      <c r="I42" s="5">
        <f t="shared" si="10"/>
        <v>0</v>
      </c>
      <c r="J42" s="5">
        <f t="shared" si="10"/>
        <v>0</v>
      </c>
      <c r="K42" s="5">
        <f t="shared" si="10"/>
        <v>0</v>
      </c>
      <c r="L42" s="5">
        <f t="shared" si="10"/>
        <v>0</v>
      </c>
      <c r="M42" s="5">
        <f t="shared" si="10"/>
        <v>0</v>
      </c>
      <c r="N42" s="5">
        <f t="shared" si="10"/>
        <v>0</v>
      </c>
    </row>
    <row r="43" spans="1:14" x14ac:dyDescent="0.2">
      <c r="A43" s="2"/>
      <c r="B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</row>
    <row r="44" spans="1:14" x14ac:dyDescent="0.2">
      <c r="A44" s="3" t="s">
        <v>8</v>
      </c>
      <c r="B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</row>
    <row r="45" spans="1:14" x14ac:dyDescent="0.2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 x14ac:dyDescent="0.2">
      <c r="A46" s="3" t="s">
        <v>9</v>
      </c>
      <c r="B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x14ac:dyDescent="0.2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 x14ac:dyDescent="0.2">
      <c r="A48" t="s">
        <v>43</v>
      </c>
      <c r="B48" s="19">
        <v>-1000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</row>
    <row r="49" spans="1:14" x14ac:dyDescent="0.2">
      <c r="A49" t="s">
        <v>10</v>
      </c>
      <c r="B49" s="19">
        <v>-20182</v>
      </c>
      <c r="D49" s="19">
        <v>0</v>
      </c>
      <c r="E49" s="19">
        <f>Units*-25000</f>
        <v>-2000000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</row>
    <row r="50" spans="1:14" x14ac:dyDescent="0.2">
      <c r="B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x14ac:dyDescent="0.2">
      <c r="A51" s="3" t="s">
        <v>11</v>
      </c>
      <c r="B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x14ac:dyDescent="0.2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 x14ac:dyDescent="0.2">
      <c r="A53" s="3" t="s">
        <v>21</v>
      </c>
      <c r="B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</row>
    <row r="57" spans="1:14" x14ac:dyDescent="0.2">
      <c r="B57" s="9"/>
      <c r="N57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Analysis</vt:lpstr>
      <vt:lpstr>CostGrowth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Edwards</dc:creator>
  <cp:lastModifiedBy>Iason Prassides</cp:lastModifiedBy>
  <dcterms:created xsi:type="dcterms:W3CDTF">2023-09-18T02:06:14Z</dcterms:created>
  <dcterms:modified xsi:type="dcterms:W3CDTF">2024-05-13T10:15:38Z</dcterms:modified>
</cp:coreProperties>
</file>