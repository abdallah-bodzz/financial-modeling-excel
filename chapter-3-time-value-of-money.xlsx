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89DE894-36A8-45E3-9745-661FAE0EF088}" xr6:coauthVersionLast="47" xr6:coauthVersionMax="47" xr10:uidLastSave="{00000000-0000-0000-0000-000000000000}"/>
  <bookViews>
    <workbookView xWindow="-110" yWindow="-110" windowWidth="19420" windowHeight="10300" xr2:uid="{4FDF45FB-1CFF-4C45-826A-662E4B25C150}"/>
  </bookViews>
  <sheets>
    <sheet name="Analysis" sheetId="1" r:id="rId1"/>
    <sheet name="TVM Analysis" sheetId="9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resentValue" comment="The analyzed present value of the total return.">Analysis!$J$7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>Analysis!$B$3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9" l="1"/>
  <c r="J7" i="1" s="1"/>
  <c r="C5" i="9"/>
  <c r="J4" i="1"/>
  <c r="G4" i="9"/>
  <c r="C4" i="9"/>
  <c r="G3" i="9"/>
  <c r="C3" i="9"/>
  <c r="G2" i="9"/>
  <c r="C2" i="9"/>
  <c r="J3" i="1"/>
  <c r="J6" i="1" l="1"/>
  <c r="J2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D44" i="1"/>
  <c r="B51" i="1"/>
  <c r="B44" i="1"/>
  <c r="B28" i="1"/>
  <c r="D21" i="1"/>
  <c r="D28" i="1" s="1"/>
  <c r="B46" i="1" l="1"/>
  <c r="F2" i="1" s="1"/>
  <c r="H19" i="1"/>
  <c r="D46" i="1"/>
  <c r="L23" i="1"/>
  <c r="M23" i="1"/>
  <c r="N23" i="1"/>
  <c r="K23" i="1"/>
  <c r="J23" i="1"/>
  <c r="I23" i="1"/>
  <c r="H23" i="1"/>
  <c r="G23" i="1"/>
  <c r="F23" i="1"/>
  <c r="E23" i="1"/>
  <c r="E16" i="1"/>
  <c r="D48" i="1" l="1"/>
  <c r="D51" i="1" s="1"/>
  <c r="B53" i="1"/>
  <c r="E36" i="1"/>
  <c r="E39" i="1"/>
  <c r="I19" i="1"/>
  <c r="J19" i="1" s="1"/>
  <c r="F16" i="1"/>
  <c r="E42" i="1" l="1"/>
  <c r="F42" i="1" s="1"/>
  <c r="D53" i="1"/>
  <c r="F39" i="1"/>
  <c r="F36" i="1"/>
  <c r="F18" i="1"/>
  <c r="K19" i="1"/>
  <c r="G16" i="1"/>
  <c r="E21" i="1"/>
  <c r="E40" i="1" l="1"/>
  <c r="G36" i="1"/>
  <c r="G39" i="1"/>
  <c r="G18" i="1"/>
  <c r="L19" i="1"/>
  <c r="G42" i="1"/>
  <c r="F40" i="1"/>
  <c r="E33" i="1"/>
  <c r="E30" i="1"/>
  <c r="H16" i="1"/>
  <c r="E25" i="1"/>
  <c r="E28" i="1" s="1"/>
  <c r="H36" i="1" l="1"/>
  <c r="H39" i="1"/>
  <c r="H18" i="1"/>
  <c r="M19" i="1"/>
  <c r="H42" i="1"/>
  <c r="G40" i="1"/>
  <c r="E44" i="1"/>
  <c r="E46" i="1" s="1"/>
  <c r="I16" i="1"/>
  <c r="F21" i="1"/>
  <c r="I36" i="1" l="1"/>
  <c r="I39" i="1"/>
  <c r="I18" i="1"/>
  <c r="N19" i="1"/>
  <c r="I42" i="1"/>
  <c r="H40" i="1"/>
  <c r="F33" i="1"/>
  <c r="J16" i="1"/>
  <c r="F30" i="1"/>
  <c r="G21" i="1"/>
  <c r="F25" i="1"/>
  <c r="F28" i="1" s="1"/>
  <c r="J36" i="1" l="1"/>
  <c r="J39" i="1"/>
  <c r="J18" i="1"/>
  <c r="J42" i="1"/>
  <c r="I40" i="1"/>
  <c r="F44" i="1"/>
  <c r="F46" i="1" s="1"/>
  <c r="G25" i="1"/>
  <c r="G28" i="1" s="1"/>
  <c r="K16" i="1"/>
  <c r="G30" i="1"/>
  <c r="G33" i="1"/>
  <c r="H21" i="1"/>
  <c r="K36" i="1" l="1"/>
  <c r="K39" i="1"/>
  <c r="K18" i="1"/>
  <c r="K42" i="1"/>
  <c r="J40" i="1"/>
  <c r="H25" i="1"/>
  <c r="H28" i="1" s="1"/>
  <c r="G44" i="1"/>
  <c r="G46" i="1" s="1"/>
  <c r="H30" i="1"/>
  <c r="L16" i="1"/>
  <c r="I21" i="1"/>
  <c r="H33" i="1"/>
  <c r="L36" i="1" l="1"/>
  <c r="L39" i="1"/>
  <c r="L18" i="1"/>
  <c r="L42" i="1"/>
  <c r="K40" i="1"/>
  <c r="I25" i="1"/>
  <c r="I28" i="1" s="1"/>
  <c r="H44" i="1"/>
  <c r="H46" i="1" s="1"/>
  <c r="M16" i="1"/>
  <c r="I30" i="1"/>
  <c r="I33" i="1"/>
  <c r="J21" i="1"/>
  <c r="M36" i="1" l="1"/>
  <c r="M39" i="1"/>
  <c r="M18" i="1"/>
  <c r="M42" i="1"/>
  <c r="L40" i="1"/>
  <c r="J25" i="1"/>
  <c r="J28" i="1" s="1"/>
  <c r="I44" i="1"/>
  <c r="I46" i="1" s="1"/>
  <c r="J33" i="1"/>
  <c r="N16" i="1"/>
  <c r="J30" i="1"/>
  <c r="K21" i="1"/>
  <c r="N36" i="1" l="1"/>
  <c r="N39" i="1"/>
  <c r="N18" i="1"/>
  <c r="N42" i="1"/>
  <c r="N40" i="1" s="1"/>
  <c r="M40" i="1"/>
  <c r="J44" i="1"/>
  <c r="J46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N44" i="1"/>
  <c r="N46" i="1" s="1"/>
  <c r="F8" i="1" l="1"/>
  <c r="M48" i="1" s="1"/>
  <c r="M51" i="1" s="1"/>
  <c r="M53" i="1" s="1"/>
  <c r="F48" i="1" l="1"/>
  <c r="F51" i="1" s="1"/>
  <c r="F53" i="1" s="1"/>
  <c r="J48" i="1"/>
  <c r="J51" i="1" s="1"/>
  <c r="J53" i="1" s="1"/>
  <c r="E48" i="1"/>
  <c r="E51" i="1" s="1"/>
  <c r="E53" i="1" s="1"/>
  <c r="H48" i="1"/>
  <c r="H51" i="1" s="1"/>
  <c r="H53" i="1" s="1"/>
  <c r="G48" i="1"/>
  <c r="G51" i="1" s="1"/>
  <c r="G53" i="1" s="1"/>
  <c r="N48" i="1"/>
  <c r="N51" i="1" s="1"/>
  <c r="N53" i="1" s="1"/>
  <c r="I48" i="1"/>
  <c r="I51" i="1" s="1"/>
  <c r="I53" i="1" s="1"/>
  <c r="K48" i="1"/>
  <c r="K51" i="1" s="1"/>
  <c r="K53" i="1" s="1"/>
  <c r="L48" i="1"/>
  <c r="L51" i="1" s="1"/>
  <c r="L53" i="1" s="1"/>
</calcChain>
</file>

<file path=xl/sharedStrings.xml><?xml version="1.0" encoding="utf-8"?>
<sst xmlns="http://schemas.openxmlformats.org/spreadsheetml/2006/main" count="66" uniqueCount="60">
  <si>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</si>
  <si>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</si>
  <si>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</si>
  <si>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</si>
  <si>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</si>
  <si>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</si>
  <si>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</si>
  <si>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</si>
  <si>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</si>
  <si>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</si>
  <si>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</si>
  <si>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</si>
  <si>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</si>
  <si>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</si>
  <si>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</si>
  <si>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</si>
  <si>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</si>
  <si>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</si>
  <si>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</si>
  <si>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</si>
  <si>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</si>
  <si>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</si>
  <si>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</si>
  <si>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</si>
  <si>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</si>
  <si>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</si>
  <si>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</si>
  <si>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</si>
  <si>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</si>
  <si>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</si>
  <si>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</si>
  <si>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</si>
  <si>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</si>
  <si>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</si>
  <si>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</si>
  <si>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</si>
  <si>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</si>
  <si>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</si>
  <si>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</si>
  <si>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</si>
  <si>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</si>
  <si>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</si>
  <si>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</si>
  <si>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</si>
  <si>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</si>
  <si>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Benchmark Rate</t>
  </si>
  <si>
    <t>Present Value</t>
  </si>
  <si>
    <t>Future Value</t>
  </si>
  <si>
    <t>Return on Investment</t>
  </si>
  <si>
    <t>Total Investment</t>
  </si>
  <si>
    <t>IRR</t>
  </si>
  <si>
    <t>NPV</t>
  </si>
  <si>
    <t>PV</t>
  </si>
  <si>
    <t>Profit Metrics</t>
  </si>
  <si>
    <t>Total Return</t>
  </si>
  <si>
    <t>FV</t>
  </si>
  <si>
    <t>XNPV</t>
  </si>
  <si>
    <t>XIRR</t>
  </si>
  <si>
    <t>Rate</t>
  </si>
  <si>
    <t>Nper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</si>
</sst>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10" fontId="0" fillId="0" borderId="0" xfId="2" applyNumberFormat="1" applyFont="1"/>
    <xf numFmtId="10" fontId="7" fillId="2" borderId="0" xfId="0" applyNumberFormat="1" applyFont="1" applyFill="1"/>
    <xf numFmtId="0" fontId="8" fillId="0" borderId="0" xfId="0" applyFont="1"/>
    <xf numFmtId="0" fontId="8" fillId="0" borderId="0" xfId="1" applyNumberFormat="1" applyFont="1"/>
    <xf numFmtId="0" fontId="4" fillId="0" borderId="0" xfId="1" applyNumberFormat="1" applyFont="1"/>
    <xf numFmtId="165" fontId="0" fillId="2" borderId="0" xfId="1" applyNumberFormat="1" applyFont="1" applyFill="1"/>
    <xf numFmtId="10" fontId="0" fillId="2" borderId="0" xfId="2" applyNumberFormat="1" applyFont="1" applyFill="1"/>
    <xf numFmtId="10" fontId="9" fillId="0" borderId="0" xfId="2" applyNumberFormat="1" applyFont="1"/>
    <xf numFmtId="165" fontId="9" fillId="0" borderId="0" xfId="1" applyNumberFormat="1" applyFont="1"/>
    <xf numFmtId="165" fontId="4" fillId="2" borderId="0" xfId="1" applyNumberFormat="1" applyFont="1" applyFill="1"/>
    <xf numFmtId="165" fontId="9" fillId="2" borderId="0" xfId="1" applyNumberFormat="1" applyFont="1" applyFill="1"/>
    <xf numFmtId="14" fontId="0" fillId="0" borderId="0" xfId="0" applyNumberFormat="1"/>
    <xf numFmtId="14" fontId="4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692826</xdr:colOff>
      <xdr:row>0</xdr:row>
      <xdr:rowOff>0</xdr:rowOff>
    </xdr:from>
    <xdr:to>
      <xdr:col>13</xdr:col>
      <xdr:colOff>69750</xdr:colOff>
      <xdr:row>5</xdr:row>
      <xdr:rowOff>167572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20746" y="0"/>
          <a:ext cx="2381744" cy="10819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="40" zoomScaleNormal="40" workbookViewId="0">
      <selection activeCell="Q29" sqref="Q29"/>
    </sheetView>
  </sheetViews>
  <sheetFormatPr defaultRowHeight="14.5" x14ac:dyDescent="0.35"/>
  <cols>
    <col min="1" max="1" width="33.7265625" bestFit="1" customWidth="1"/>
    <col min="2" max="2" width="20.81640625" style="12" bestFit="1" customWidth="1"/>
    <col min="3" max="3" width="14.7265625" customWidth="1"/>
    <col min="4" max="4" width="23.26953125" bestFit="1" customWidth="1"/>
    <col min="5" max="5" width="15.81640625" bestFit="1" customWidth="1"/>
    <col min="6" max="6" width="14.1796875" bestFit="1" customWidth="1"/>
    <col min="7" max="7" width="14.6328125" bestFit="1" customWidth="1"/>
    <col min="8" max="8" width="22.1796875" bestFit="1" customWidth="1"/>
    <col min="9" max="9" width="14.6328125" bestFit="1" customWidth="1"/>
    <col min="10" max="10" width="14.1796875" bestFit="1" customWidth="1"/>
    <col min="11" max="13" width="14.6328125" bestFit="1" customWidth="1"/>
    <col min="14" max="14" width="16.26953125" bestFit="1" customWidth="1"/>
  </cols>
  <sheetData>
    <row r="1" spans="1:14" x14ac:dyDescent="0.35">
      <c r="A1" s="34" t="s">
        <v>18</v>
      </c>
      <c r="B1" s="34"/>
      <c r="D1" s="34" t="s">
        <v>25</v>
      </c>
      <c r="E1" s="34"/>
      <c r="F1" s="34"/>
      <c r="H1" s="34" t="s">
        <v>53</v>
      </c>
      <c r="I1" s="34"/>
      <c r="J1" s="34"/>
    </row>
    <row r="2" spans="1:14" x14ac:dyDescent="0.35">
      <c r="A2" t="s">
        <v>12</v>
      </c>
      <c r="B2" s="10" t="s">
        <v>13</v>
      </c>
      <c r="D2" t="s">
        <v>26</v>
      </c>
      <c r="F2" s="30">
        <f>B46/AcquisitionCapRate</f>
        <v>7288683.333333334</v>
      </c>
      <c r="H2" t="s">
        <v>49</v>
      </c>
      <c r="J2" s="33">
        <f>ABS(SUM(D51:E51))</f>
        <v>9288683.333333334</v>
      </c>
    </row>
    <row r="3" spans="1:14" x14ac:dyDescent="0.35">
      <c r="A3" s="4" t="s">
        <v>0</v>
      </c>
      <c r="B3" s="11">
        <v>80</v>
      </c>
      <c r="D3" s="4" t="s">
        <v>27</v>
      </c>
      <c r="E3" s="4"/>
      <c r="F3" s="27">
        <v>0.06</v>
      </c>
      <c r="H3" s="4" t="s">
        <v>54</v>
      </c>
      <c r="I3" s="4"/>
      <c r="J3" s="42">
        <f>J2+SUM(D53:N53)</f>
        <v>79660390.810465187</v>
      </c>
      <c r="K3" s="26"/>
    </row>
    <row r="4" spans="1:14" x14ac:dyDescent="0.35">
      <c r="A4" t="s">
        <v>1</v>
      </c>
      <c r="B4" s="10">
        <v>1994</v>
      </c>
      <c r="H4" t="s">
        <v>48</v>
      </c>
      <c r="J4" s="37">
        <f>J3/J2</f>
        <v>8.5760691749062232</v>
      </c>
    </row>
    <row r="5" spans="1:14" x14ac:dyDescent="0.35">
      <c r="A5" s="4" t="s">
        <v>22</v>
      </c>
      <c r="B5" s="11" t="s">
        <v>23</v>
      </c>
      <c r="D5" s="34" t="s">
        <v>28</v>
      </c>
      <c r="E5" s="34"/>
      <c r="F5" s="34"/>
      <c r="H5" s="4" t="s">
        <v>45</v>
      </c>
      <c r="I5" s="4"/>
      <c r="J5" s="38">
        <v>0.2</v>
      </c>
    </row>
    <row r="6" spans="1:14" x14ac:dyDescent="0.35">
      <c r="A6" t="s">
        <v>41</v>
      </c>
      <c r="B6" s="10" t="s">
        <v>42</v>
      </c>
      <c r="D6" t="s">
        <v>40</v>
      </c>
      <c r="F6" s="32">
        <v>10</v>
      </c>
      <c r="H6" t="s">
        <v>55</v>
      </c>
      <c r="J6" s="45">
        <f>'TVM Analysis'!C5</f>
        <v>57513078.911139838</v>
      </c>
    </row>
    <row r="7" spans="1:14" x14ac:dyDescent="0.35">
      <c r="D7" s="4" t="s">
        <v>39</v>
      </c>
      <c r="E7" s="4"/>
      <c r="F7" s="27">
        <v>0.05</v>
      </c>
      <c r="H7" s="4" t="s">
        <v>52</v>
      </c>
      <c r="I7" s="4"/>
      <c r="J7" s="47">
        <f>'TVM Analysis'!G5</f>
        <v>12865597.851077091</v>
      </c>
    </row>
    <row r="8" spans="1:14" x14ac:dyDescent="0.35">
      <c r="A8" s="34" t="s">
        <v>36</v>
      </c>
      <c r="B8" s="34"/>
      <c r="D8" t="s">
        <v>29</v>
      </c>
      <c r="F8" s="33">
        <f>HLOOKUP(HoldingPeriod,D16:N46,31,0)/ExitCapRate</f>
        <v>59099662.392130777</v>
      </c>
      <c r="H8" t="s">
        <v>51</v>
      </c>
      <c r="J8" s="16"/>
    </row>
    <row r="9" spans="1:14" x14ac:dyDescent="0.35">
      <c r="A9" s="25" t="s">
        <v>38</v>
      </c>
      <c r="B9" s="8">
        <v>0.02</v>
      </c>
      <c r="H9" s="4" t="s">
        <v>56</v>
      </c>
      <c r="I9" s="4"/>
      <c r="J9" s="46"/>
    </row>
    <row r="10" spans="1:14" x14ac:dyDescent="0.35">
      <c r="A10" s="4" t="s">
        <v>37</v>
      </c>
      <c r="B10" s="27">
        <v>0.05</v>
      </c>
      <c r="H10" t="s">
        <v>50</v>
      </c>
      <c r="J10" s="25"/>
    </row>
    <row r="11" spans="1:14" x14ac:dyDescent="0.35">
      <c r="H11" s="4" t="s">
        <v>57</v>
      </c>
      <c r="I11" s="4"/>
      <c r="J11" s="43"/>
    </row>
    <row r="14" spans="1:14" x14ac:dyDescent="0.35">
      <c r="A14" s="35" t="s">
        <v>32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s="48" customFormat="1" x14ac:dyDescent="0.35">
      <c r="B15" s="49"/>
    </row>
    <row r="16" spans="1:14" x14ac:dyDescent="0.35">
      <c r="B16" s="13" t="s">
        <v>35</v>
      </c>
      <c r="C16" s="1"/>
      <c r="D16" s="31">
        <v>0</v>
      </c>
      <c r="E16" s="31">
        <f>D16+1</f>
        <v>1</v>
      </c>
      <c r="F16" s="31">
        <f t="shared" ref="F16:N16" si="0">E16+1</f>
        <v>2</v>
      </c>
      <c r="G16" s="31">
        <f t="shared" si="0"/>
        <v>3</v>
      </c>
      <c r="H16" s="31">
        <f t="shared" si="0"/>
        <v>4</v>
      </c>
      <c r="I16" s="31">
        <f t="shared" si="0"/>
        <v>5</v>
      </c>
      <c r="J16" s="31">
        <f t="shared" si="0"/>
        <v>6</v>
      </c>
      <c r="K16" s="31">
        <f t="shared" si="0"/>
        <v>7</v>
      </c>
      <c r="L16" s="31">
        <f t="shared" si="0"/>
        <v>8</v>
      </c>
      <c r="M16" s="31">
        <f>L16+1</f>
        <v>9</v>
      </c>
      <c r="N16" s="31">
        <f t="shared" si="0"/>
        <v>10</v>
      </c>
    </row>
    <row r="17" spans="1:15" x14ac:dyDescent="0.35">
      <c r="B17" s="14"/>
      <c r="G17" s="1"/>
      <c r="H17" s="1"/>
      <c r="I17" s="1"/>
      <c r="J17" s="1"/>
    </row>
    <row r="18" spans="1:15" x14ac:dyDescent="0.3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3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35">
      <c r="B20" s="15"/>
      <c r="D20" s="15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5" x14ac:dyDescent="0.3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3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35">
      <c r="A23" s="24" t="s">
        <v>16</v>
      </c>
      <c r="B23" s="23"/>
      <c r="D23" s="29"/>
      <c r="E23" s="29">
        <f t="shared" ref="E23:N23" si="4">E22/Units</f>
        <v>0</v>
      </c>
      <c r="F23" s="29">
        <f t="shared" si="4"/>
        <v>0.75</v>
      </c>
      <c r="G23" s="29">
        <f t="shared" si="4"/>
        <v>0.95</v>
      </c>
      <c r="H23" s="29">
        <f t="shared" si="4"/>
        <v>0.95</v>
      </c>
      <c r="I23" s="29">
        <f t="shared" si="4"/>
        <v>0.95</v>
      </c>
      <c r="J23" s="29">
        <f t="shared" si="4"/>
        <v>0.95</v>
      </c>
      <c r="K23" s="29">
        <f t="shared" si="4"/>
        <v>0.95</v>
      </c>
      <c r="L23" s="29">
        <f t="shared" si="4"/>
        <v>0.95</v>
      </c>
      <c r="M23" s="29">
        <f t="shared" si="4"/>
        <v>0.95</v>
      </c>
      <c r="N23" s="29">
        <f t="shared" si="4"/>
        <v>0.95</v>
      </c>
    </row>
    <row r="24" spans="1:15" x14ac:dyDescent="0.3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3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3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3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3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3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3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3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3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3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3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3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35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3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3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35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35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3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3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3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3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3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3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3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35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59099662.392130777</v>
      </c>
    </row>
    <row r="49" spans="1:14" x14ac:dyDescent="0.3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3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35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59099662.392130777</v>
      </c>
    </row>
    <row r="52" spans="1:14" x14ac:dyDescent="0.3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35">
      <c r="A53" s="3" t="s">
        <v>21</v>
      </c>
      <c r="B53" s="18">
        <f>SUM(B46,B51)</f>
        <v>416139</v>
      </c>
      <c r="C53" s="30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1421086.9722</v>
      </c>
      <c r="G53" s="18">
        <f t="shared" si="18"/>
        <v>1990032.2644440001</v>
      </c>
      <c r="H53" s="18">
        <f t="shared" si="18"/>
        <v>2108089.57838888</v>
      </c>
      <c r="I53" s="18">
        <f t="shared" si="18"/>
        <v>2232206.5383697771</v>
      </c>
      <c r="J53" s="18">
        <f t="shared" si="18"/>
        <v>2362690.978937435</v>
      </c>
      <c r="K53" s="18">
        <f t="shared" si="18"/>
        <v>2499864.5411057891</v>
      </c>
      <c r="L53" s="18">
        <f t="shared" si="18"/>
        <v>2644064.9796329779</v>
      </c>
      <c r="M53" s="18">
        <f t="shared" si="18"/>
        <v>2795647.0023156828</v>
      </c>
      <c r="N53" s="18">
        <f t="shared" si="18"/>
        <v>62054645.511737317</v>
      </c>
    </row>
    <row r="57" spans="1:14" x14ac:dyDescent="0.35">
      <c r="A57" s="30"/>
      <c r="B57" s="33"/>
      <c r="C57" s="30"/>
      <c r="D57" s="30"/>
      <c r="E57" s="30"/>
      <c r="F57" s="30"/>
      <c r="N57" s="9"/>
    </row>
    <row r="58" spans="1:14" x14ac:dyDescent="0.35">
      <c r="A58" s="37"/>
      <c r="B58" s="33"/>
      <c r="C58" s="33"/>
      <c r="D58" s="33"/>
      <c r="E58" s="33"/>
      <c r="F58" s="33"/>
    </row>
    <row r="59" spans="1:14" x14ac:dyDescent="0.35">
      <c r="A59" s="37"/>
      <c r="B59" s="33"/>
      <c r="C59" s="33"/>
      <c r="D59" s="33"/>
      <c r="E59" s="33"/>
      <c r="F59" s="33"/>
    </row>
    <row r="60" spans="1:14" x14ac:dyDescent="0.35">
      <c r="A60" s="37"/>
      <c r="B60" s="33"/>
      <c r="C60" s="33"/>
      <c r="D60" s="33"/>
      <c r="E60" s="33"/>
      <c r="F60" s="33"/>
    </row>
    <row r="61" spans="1:14" x14ac:dyDescent="0.35">
      <c r="A61" s="37"/>
      <c r="B61" s="33"/>
      <c r="C61" s="33"/>
      <c r="D61" s="33"/>
      <c r="E61" s="33"/>
      <c r="F61" s="33"/>
    </row>
    <row r="62" spans="1:14" x14ac:dyDescent="0.35">
      <c r="A62" s="37"/>
      <c r="B62" s="33"/>
      <c r="C62" s="33"/>
      <c r="D62" s="33"/>
      <c r="E62" s="33"/>
      <c r="F62" s="33"/>
    </row>
    <row r="64" spans="1:14" x14ac:dyDescent="0.35">
      <c r="A64" s="12"/>
      <c r="B64"/>
    </row>
    <row r="65" spans="1:2" x14ac:dyDescent="0.35">
      <c r="A65" s="12"/>
      <c r="B65"/>
    </row>
    <row r="66" spans="1:2" x14ac:dyDescent="0.35">
      <c r="A66" s="12"/>
      <c r="B66"/>
    </row>
    <row r="67" spans="1:2" x14ac:dyDescent="0.35">
      <c r="A67" s="12"/>
      <c r="B67"/>
    </row>
    <row r="68" spans="1:2" x14ac:dyDescent="0.35">
      <c r="A68" s="12"/>
      <c r="B68"/>
    </row>
  </sheetData>
  <scenarios current="0" show="0" sqref="N46">
    <scenario name="Expected Rent" locked="1" count="2" user="Nick Edwards" comment="The expected rent and rent growth assumptions.">
      <inputCells r="B10" val="0.05" numFmtId="10"/>
      <inputCells r="F19" val="2300" numFmtId="165"/>
    </scenario>
    <scenario name="High Rent" locked="1" count="2" user="Nick Edwards" comment="Higher than expected rent and rent growth assumptions.">
      <inputCells r="B10" val="0.08" numFmtId="10"/>
      <inputCells r="F19" val="2500" numFmtId="165"/>
    </scenario>
  </scenarios>
  <conditionalFormatting sqref="B58:F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887A-0F69-4B45-8E2E-727D652DF0C9}">
  <dimension ref="A1:G25"/>
  <sheetViews>
    <sheetView showGridLines="0" zoomScaleNormal="100" workbookViewId="0">
      <selection activeCell="G6" sqref="G6"/>
    </sheetView>
  </sheetViews>
  <sheetFormatPr defaultRowHeight="14.5" x14ac:dyDescent="0.35"/>
  <cols>
    <col min="1" max="1" width="18.81640625" bestFit="1" customWidth="1"/>
    <col min="2" max="2" width="11" bestFit="1" customWidth="1"/>
    <col min="3" max="3" width="11.6328125" bestFit="1" customWidth="1"/>
    <col min="5" max="5" width="18.81640625" bestFit="1" customWidth="1"/>
    <col min="6" max="6" width="11" style="12" bestFit="1" customWidth="1"/>
    <col min="7" max="7" width="11.6328125" style="12" bestFit="1" customWidth="1"/>
  </cols>
  <sheetData>
    <row r="1" spans="1:7" x14ac:dyDescent="0.35">
      <c r="A1" s="34" t="s">
        <v>47</v>
      </c>
      <c r="B1" s="34"/>
      <c r="C1" s="34"/>
      <c r="E1" s="34" t="s">
        <v>46</v>
      </c>
      <c r="F1" s="34"/>
      <c r="G1" s="34"/>
    </row>
    <row r="2" spans="1:7" x14ac:dyDescent="0.35">
      <c r="A2" t="s">
        <v>58</v>
      </c>
      <c r="B2" s="39"/>
      <c r="C2" s="44">
        <f>Analysis!J5</f>
        <v>0.2</v>
      </c>
      <c r="E2" t="s">
        <v>58</v>
      </c>
      <c r="F2" s="39"/>
      <c r="G2" s="44">
        <f>Analysis!J5</f>
        <v>0.2</v>
      </c>
    </row>
    <row r="3" spans="1:7" x14ac:dyDescent="0.35">
      <c r="A3" t="s">
        <v>59</v>
      </c>
      <c r="B3" s="39"/>
      <c r="C3" s="45">
        <f>HoldingPeriod</f>
        <v>10</v>
      </c>
      <c r="E3" t="s">
        <v>59</v>
      </c>
      <c r="F3" s="39"/>
      <c r="G3" s="45">
        <f>HoldingPeriod</f>
        <v>10</v>
      </c>
    </row>
    <row r="4" spans="1:7" x14ac:dyDescent="0.35">
      <c r="A4" t="s">
        <v>52</v>
      </c>
      <c r="B4" s="40"/>
      <c r="C4" s="45">
        <f>Analysis!J2</f>
        <v>9288683.333333334</v>
      </c>
      <c r="E4" t="s">
        <v>55</v>
      </c>
      <c r="F4" s="40"/>
      <c r="G4" s="45">
        <f>Analysis!J3</f>
        <v>79660390.810465187</v>
      </c>
    </row>
    <row r="5" spans="1:7" x14ac:dyDescent="0.35">
      <c r="A5" t="s">
        <v>55</v>
      </c>
      <c r="B5" s="41"/>
      <c r="C5" s="16">
        <f>-FV(C2,C3,,C4)</f>
        <v>57513078.911139838</v>
      </c>
      <c r="E5" t="s">
        <v>52</v>
      </c>
      <c r="F5" s="41"/>
      <c r="G5" s="16">
        <f>-PV(G2,G3,,G4)</f>
        <v>12865597.851077091</v>
      </c>
    </row>
    <row r="6" spans="1:7" x14ac:dyDescent="0.35">
      <c r="B6" s="12"/>
      <c r="C6" s="12"/>
    </row>
    <row r="7" spans="1:7" x14ac:dyDescent="0.35">
      <c r="B7" s="12"/>
      <c r="C7" s="12"/>
    </row>
    <row r="8" spans="1:7" x14ac:dyDescent="0.35">
      <c r="B8" s="12"/>
      <c r="C8" s="12"/>
    </row>
    <row r="9" spans="1:7" x14ac:dyDescent="0.35">
      <c r="B9" s="12"/>
      <c r="C9" s="12"/>
    </row>
    <row r="10" spans="1:7" x14ac:dyDescent="0.35">
      <c r="B10" s="12"/>
      <c r="C10" s="12"/>
    </row>
    <row r="11" spans="1:7" x14ac:dyDescent="0.35">
      <c r="B11" s="12"/>
      <c r="C11" s="12"/>
    </row>
    <row r="12" spans="1:7" x14ac:dyDescent="0.35">
      <c r="B12" s="12"/>
      <c r="C12" s="12"/>
    </row>
    <row r="13" spans="1:7" x14ac:dyDescent="0.35">
      <c r="B13" s="12"/>
      <c r="C13" s="12"/>
    </row>
    <row r="14" spans="1:7" x14ac:dyDescent="0.35">
      <c r="B14" s="12"/>
      <c r="C14" s="12"/>
    </row>
    <row r="15" spans="1:7" x14ac:dyDescent="0.35">
      <c r="B15" s="12"/>
      <c r="C15" s="12"/>
    </row>
    <row r="16" spans="1:7" x14ac:dyDescent="0.35">
      <c r="B16" s="12"/>
      <c r="C16" s="12"/>
    </row>
    <row r="17" spans="2:3" x14ac:dyDescent="0.35">
      <c r="B17" s="12"/>
      <c r="C17" s="12"/>
    </row>
    <row r="18" spans="2:3" x14ac:dyDescent="0.35">
      <c r="B18" s="12"/>
      <c r="C18" s="12"/>
    </row>
    <row r="19" spans="2:3" x14ac:dyDescent="0.35">
      <c r="B19" s="12"/>
      <c r="C19" s="12"/>
    </row>
    <row r="20" spans="2:3" x14ac:dyDescent="0.35">
      <c r="B20" s="12"/>
      <c r="C20" s="12"/>
    </row>
    <row r="21" spans="2:3" x14ac:dyDescent="0.35">
      <c r="B21" s="12"/>
      <c r="C21" s="12"/>
    </row>
    <row r="22" spans="2:3" x14ac:dyDescent="0.35">
      <c r="B22" s="12"/>
      <c r="C22" s="12"/>
    </row>
    <row r="23" spans="2:3" x14ac:dyDescent="0.35">
      <c r="B23" s="12"/>
      <c r="C23" s="12"/>
    </row>
    <row r="24" spans="2:3" x14ac:dyDescent="0.35">
      <c r="B24" s="12"/>
      <c r="C24" s="12"/>
    </row>
    <row r="25" spans="2:3" x14ac:dyDescent="0.35">
      <c r="B25" s="12"/>
      <c r="C25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Analysis</vt:lpstr>
      <vt:lpstr>TVM Analysis</vt:lpstr>
      <vt:lpstr>AcquisitionCapRate</vt:lpstr>
      <vt:lpstr>CostGrowth</vt:lpstr>
      <vt:lpstr>ExitCapRate</vt:lpstr>
      <vt:lpstr>HoldingPeriod</vt:lpstr>
      <vt:lpstr>PresentValue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abdelhadyanas756@gmail.com</cp:lastModifiedBy>
  <dcterms:created xsi:type="dcterms:W3CDTF">2023-09-18T02:06:14Z</dcterms:created>
  <dcterms:modified xsi:type="dcterms:W3CDTF">2026-04-07T15:37:28Z</dcterms:modified>
</cp:coreProperties>
</file>